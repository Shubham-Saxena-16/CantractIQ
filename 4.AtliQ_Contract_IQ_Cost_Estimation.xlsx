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 Sizing" sheetId="2" state="visible" r:id="rId2"/>
    <sheet xmlns:r="http://schemas.openxmlformats.org/officeDocument/2006/relationships" name="Inference (Groq)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Embeddings" sheetId="5" state="visible" r:id="rId5"/>
    <sheet xmlns:r="http://schemas.openxmlformats.org/officeDocument/2006/relationships" name="Cost Savings" sheetId="6" state="visible" r:id="rId6"/>
    <sheet xmlns:r="http://schemas.openxmlformats.org/officeDocument/2006/relationships" name="Sources &amp; Assumptions" sheetId="7" state="visible" r:id="rId7"/>
  </sheets>
  <definedNames>
    <definedName name="_xlnm._FilterDatabase" localSheetId="0" hidden="1">'Summary'!$A$4:$D$19</definedName>
    <definedName name="_xlnm._FilterDatabase" localSheetId="1" hidden="1">'Volume Sizing'!$A$4:$D$24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.0000"/>
    <numFmt numFmtId="165" formatCode="&quot;$&quot;0.000000"/>
    <numFmt numFmtId="166" formatCode="&quot;$&quot;0.000"/>
    <numFmt numFmtId="167" formatCode="&quot;$&quot;#,##0.00"/>
    <numFmt numFmtId="168" formatCode="&quot;$&quot;0.0000"/>
    <numFmt numFmtId="169" formatCode="&quot;$&quot;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  <sz val="10"/>
    </font>
    <font>
      <b val="1"/>
      <color rgb="00FFFFFF"/>
    </font>
    <font>
      <b val="1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8FBFE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7" fontId="4" fillId="7" borderId="1" applyAlignment="1" pivotButton="0" quotePrefix="0" xfId="0">
      <alignment vertical="top" wrapText="1"/>
    </xf>
    <xf numFmtId="1" fontId="0" fillId="5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9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6" fontId="4" fillId="8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0" pivotButton="0" quotePrefix="0" xfId="0"/>
    <xf numFmtId="167" fontId="4" fillId="7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C5" authorId="0" shapeId="0">
      <text>
        <t>Reference only: 48 tracker rows are supplied, but this does not establish monthly contract volume.</t>
      </text>
    </comment>
    <comment ref="C6" authorId="0" shapeId="0">
      <text>
        <t>Planning assumption or derived value. Replace assumptions with observed prototype usage where available.</t>
      </text>
    </comment>
    <comment ref="C7" authorId="0" shapeId="0">
      <text>
        <t>Planning assumption or derived value. Replace assumptions with observed prototype usage where available.</t>
      </text>
    </comment>
    <comment ref="C9" authorId="0" shapeId="0">
      <text>
        <t>Planning assumption or derived value. Replace assumptions with observed prototype usage where available.</t>
      </text>
    </comment>
    <comment ref="C12" authorId="0" shapeId="0">
      <text>
        <t>Planning assumption or derived value. Replace assumptions with observed prototype usage where available.</t>
      </text>
    </comment>
    <comment ref="C13" authorId="0" shapeId="0">
      <text>
        <t>Planning assumption or derived value. Replace assumptions with observed prototype usage where available.</t>
      </text>
    </comment>
    <comment ref="C15" authorId="0" shapeId="0">
      <text>
        <t>Planning assumption or derived value. Replace assumptions with observed prototype usage where available.</t>
      </text>
    </comment>
    <comment ref="C16" authorId="0" shapeId="0">
      <text>
        <t>Planning assumption or derived value. Replace assumptions with observed prototype usage where available.</t>
      </text>
    </comment>
    <comment ref="C17" authorId="0" shapeId="0">
      <text>
        <t>Planning assumption or derived value. Replace assumptions with observed prototype usage where available.</t>
      </text>
    </comment>
    <comment ref="C18" authorId="0" shapeId="0">
      <text>
        <t>Planning assumption or derived value. Replace assumptions with observed prototype usage where available.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10" authorId="0" shapeId="0">
      <text>
        <t>Assumption: replace with measured token usage and cache behavior from Groq logs.</t>
      </text>
    </comment>
    <comment ref="E10" authorId="0" shapeId="0">
      <text>
        <t>Assumption: replace with measured token usage and cache behavior from Groq logs.</t>
      </text>
    </comment>
    <comment ref="F10" authorId="0" shapeId="0">
      <text>
        <t>Assumption: replace with measured token usage and cache behavior from Groq logs.</t>
      </text>
    </comment>
    <comment ref="G10" authorId="0" shapeId="0">
      <text>
        <t>Assumption: replace with measured token usage and cache behavior from Groq logs.</t>
      </text>
    </comment>
    <comment ref="H10" authorId="0" shapeId="0">
      <text>
        <t>Assumption: replace with measured token usage and cache behavior from Groq logs.</t>
      </text>
    </comment>
    <comment ref="D11" authorId="0" shapeId="0">
      <text>
        <t>Assumption: replace with measured token usage and cache behavior from Groq logs.</t>
      </text>
    </comment>
    <comment ref="E11" authorId="0" shapeId="0">
      <text>
        <t>Assumption: replace with measured token usage and cache behavior from Groq logs.</t>
      </text>
    </comment>
    <comment ref="F11" authorId="0" shapeId="0">
      <text>
        <t>Assumption: replace with measured token usage and cache behavior from Groq logs.</t>
      </text>
    </comment>
    <comment ref="G11" authorId="0" shapeId="0">
      <text>
        <t>Assumption: replace with measured token usage and cache behavior from Groq logs.</t>
      </text>
    </comment>
    <comment ref="H11" authorId="0" shapeId="0">
      <text>
        <t>Assumption: replace with measured token usage and cache behavior from Groq logs.</t>
      </text>
    </comment>
    <comment ref="D12" authorId="0" shapeId="0">
      <text>
        <t>Assumption: replace with measured token usage and cache behavior from Groq logs.</t>
      </text>
    </comment>
    <comment ref="E12" authorId="0" shapeId="0">
      <text>
        <t>Assumption: replace with measured token usage and cache behavior from Groq logs.</t>
      </text>
    </comment>
    <comment ref="F12" authorId="0" shapeId="0">
      <text>
        <t>Assumption: replace with measured token usage and cache behavior from Groq logs.</t>
      </text>
    </comment>
    <comment ref="G12" authorId="0" shapeId="0">
      <text>
        <t>Assumption: replace with measured token usage and cache behavior from Groq logs.</t>
      </text>
    </comment>
    <comment ref="H12" authorId="0" shapeId="0">
      <text>
        <t>Assumption: replace with measured token usage and cache behavior from Groq logs.</t>
      </text>
    </comment>
    <comment ref="D13" authorId="0" shapeId="0">
      <text>
        <t>Assumption: replace with measured token usage and cache behavior from Groq logs.</t>
      </text>
    </comment>
    <comment ref="E13" authorId="0" shapeId="0">
      <text>
        <t>Assumption: replace with measured token usage and cache behavior from Groq logs.</t>
      </text>
    </comment>
    <comment ref="F13" authorId="0" shapeId="0">
      <text>
        <t>Assumption: replace with measured token usage and cache behavior from Groq logs.</t>
      </text>
    </comment>
    <comment ref="G13" authorId="0" shapeId="0">
      <text>
        <t>Assumption: replace with measured token usage and cache behavior from Groq logs.</t>
      </text>
    </comment>
    <comment ref="H13" authorId="0" shapeId="0">
      <text>
        <t>Assumption: replace with measured token usage and cache behavior from Groq logs.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0" customWidth="1" min="3" max="3"/>
    <col width="75" customWidth="1" min="4" max="4"/>
  </cols>
  <sheetData>
    <row r="1" ht="28" customHeight="1">
      <c r="A1" s="1" t="inlineStr">
        <is>
          <t>AtliQ Contract IQ — Cost Estimation Summary</t>
        </is>
      </c>
    </row>
    <row r="2" ht="34" customHeight="1">
      <c r="A2" s="2" t="inlineStr">
        <is>
          <t>Editable planning model for a contract-review MVP. Cost outputs are formula-linked to Volume Sizing, Inference, and Infrastructure.</t>
        </is>
      </c>
    </row>
    <row r="3"/>
    <row r="4" ht="32" customHeight="1">
      <c r="A4" s="3" t="inlineStr">
        <is>
          <t>Cost line</t>
        </is>
      </c>
      <c r="B4" s="3" t="inlineStr">
        <is>
          <t>Model / service</t>
        </is>
      </c>
      <c r="C4" s="3" t="inlineStr">
        <is>
          <t>Estimated monthly cost</t>
        </is>
      </c>
      <c r="D4" s="3" t="inlineStr">
        <is>
          <t>Notes</t>
        </is>
      </c>
    </row>
    <row r="5">
      <c r="A5" s="4" t="inlineStr">
        <is>
          <t>F1 Contract intake and triage</t>
        </is>
      </c>
      <c r="B5" s="4" t="inlineStr">
        <is>
          <t>Groq GPT-OSS 20B</t>
        </is>
      </c>
      <c r="C5" s="5">
        <f>'Inference (Groq)'!J10</f>
        <v/>
      </c>
      <c r="D5" s="4" t="inlineStr">
        <is>
          <t>Classifies document type and extracts intake metadata.</t>
        </is>
      </c>
    </row>
    <row r="6">
      <c r="A6" s="6" t="inlineStr">
        <is>
          <t>F2 Clause extraction</t>
        </is>
      </c>
      <c r="B6" s="6" t="inlineStr">
        <is>
          <t>Groq GPT-OSS 120B</t>
        </is>
      </c>
      <c r="C6" s="7">
        <f>'Inference (Groq)'!J11</f>
        <v/>
      </c>
      <c r="D6" s="6" t="inlineStr">
        <is>
          <t>Extracts material clauses from contract chunks.</t>
        </is>
      </c>
    </row>
    <row r="7">
      <c r="A7" s="4" t="inlineStr">
        <is>
          <t>F3 Checklist and precedent comparison</t>
        </is>
      </c>
      <c r="B7" s="4" t="inlineStr">
        <is>
          <t>Groq GPT-OSS 120B</t>
        </is>
      </c>
      <c r="C7" s="5">
        <f>'Inference (Groq)'!J12</f>
        <v/>
      </c>
      <c r="D7" s="4" t="inlineStr">
        <is>
          <t>Compares extracted terms with checklist and historical records.</t>
        </is>
      </c>
    </row>
    <row r="8">
      <c r="A8" s="6" t="inlineStr">
        <is>
          <t>F4 Prioritized risk report</t>
        </is>
      </c>
      <c r="B8" s="6" t="inlineStr">
        <is>
          <t>Groq GPT-OSS 120B</t>
        </is>
      </c>
      <c r="C8" s="7">
        <f>'Inference (Groq)'!J13</f>
        <v/>
      </c>
      <c r="D8" s="6" t="inlineStr">
        <is>
          <t>Creates evidence-backed findings for human review.</t>
        </is>
      </c>
    </row>
    <row r="9">
      <c r="A9" s="4" t="inlineStr">
        <is>
          <t>Retry and evaluation buffer</t>
        </is>
      </c>
      <c r="B9" s="4" t="inlineStr">
        <is>
          <t>25% of AI inference</t>
        </is>
      </c>
      <c r="C9" s="5">
        <f>'Inference (Groq)'!J16</f>
        <v/>
      </c>
      <c r="D9" s="4" t="inlineStr">
        <is>
          <t>Covers retries, prompt growth, and limited evaluation runs.</t>
        </is>
      </c>
    </row>
    <row r="10">
      <c r="A10" s="6" t="inlineStr">
        <is>
          <t>AI inference subtotal</t>
        </is>
      </c>
      <c r="B10" s="6" t="inlineStr">
        <is>
          <t>Groq API</t>
        </is>
      </c>
      <c r="C10" s="7">
        <f>'Inference (Groq)'!J17</f>
        <v/>
      </c>
      <c r="D10" s="6" t="inlineStr">
        <is>
          <t>Variable cost; depends on document length and model usage.</t>
        </is>
      </c>
    </row>
    <row r="11">
      <c r="A11" s="4" t="inlineStr">
        <is>
          <t>Application hosting</t>
        </is>
      </c>
      <c r="B11" s="4" t="inlineStr">
        <is>
          <t>Vercel Pro (planning assumption)</t>
        </is>
      </c>
      <c r="C11" s="8" t="n">
        <v>20</v>
      </c>
      <c r="D11" s="4" t="inlineStr">
        <is>
          <t>Confirm current plan/pricing and production needs.</t>
        </is>
      </c>
    </row>
    <row r="12">
      <c r="A12" s="6" t="inlineStr">
        <is>
          <t>Database and audit storage</t>
        </is>
      </c>
      <c r="B12" s="6" t="inlineStr">
        <is>
          <t>Supabase Pro (planning assumption)</t>
        </is>
      </c>
      <c r="C12" s="8" t="n">
        <v>25</v>
      </c>
      <c r="D12" s="6" t="inlineStr">
        <is>
          <t>Confirm current plan/pricing, retention, and storage needs.</t>
        </is>
      </c>
    </row>
    <row r="13">
      <c r="A13" s="4" t="inlineStr">
        <is>
          <t>OCR</t>
        </is>
      </c>
      <c r="B13" s="4" t="inlineStr">
        <is>
          <t>Deferred / not included</t>
        </is>
      </c>
      <c r="C13" s="8" t="n">
        <v>0</v>
      </c>
      <c r="D13" s="4" t="inlineStr">
        <is>
          <t>Add only if scanned/image-based contracts are in scope.</t>
        </is>
      </c>
    </row>
    <row r="14">
      <c r="A14" s="6" t="inlineStr">
        <is>
          <t>Embeddings</t>
        </is>
      </c>
      <c r="B14" s="6" t="inlineStr">
        <is>
          <t>Optional; excluded from base case</t>
        </is>
      </c>
      <c r="C14" s="8" t="n">
        <v>0</v>
      </c>
      <c r="D14" s="6" t="inlineStr">
        <is>
          <t>Add if semantic retrieval is implemented.</t>
        </is>
      </c>
    </row>
    <row r="15">
      <c r="A15" s="9" t="inlineStr">
        <is>
          <t>Estimated MVP total per month</t>
        </is>
      </c>
      <c r="B15" s="9" t="inlineStr">
        <is>
          <t>AI + hosting + database</t>
        </is>
      </c>
      <c r="C15" s="10">
        <f>SUM(C10:C14)</f>
        <v/>
      </c>
      <c r="D15" s="9" t="inlineStr">
        <is>
          <t>Before taxes, labour, OCR, and other add-ons.</t>
        </is>
      </c>
    </row>
    <row r="16">
      <c r="A16" s="6" t="inlineStr">
        <is>
          <t>Contracts reviewed per month</t>
        </is>
      </c>
      <c r="B16" s="6" t="inlineStr">
        <is>
          <t>Volume Sizing</t>
        </is>
      </c>
      <c r="C16" s="11">
        <f>'Volume Sizing'!C5</f>
        <v/>
      </c>
      <c r="D16" s="6" t="inlineStr">
        <is>
          <t>Editable volume assumption.</t>
        </is>
      </c>
    </row>
    <row r="17">
      <c r="A17" s="4" t="inlineStr">
        <is>
          <t>AI cost per contract</t>
        </is>
      </c>
      <c r="B17" s="4" t="inlineStr">
        <is>
          <t>AI subtotal ÷ contracts</t>
        </is>
      </c>
      <c r="C17" s="12">
        <f>C10/C16</f>
        <v/>
      </c>
      <c r="D17" s="4" t="inlineStr">
        <is>
          <t>Variable inference cost per contract.</t>
        </is>
      </c>
    </row>
    <row r="18">
      <c r="A18" s="6" t="inlineStr">
        <is>
          <t>Blended operating cost per contract</t>
        </is>
      </c>
      <c r="B18" s="6" t="inlineStr">
        <is>
          <t>Monthly total ÷ contracts</t>
        </is>
      </c>
      <c r="C18" s="13">
        <f>C15/C16</f>
        <v/>
      </c>
      <c r="D18" s="6" t="inlineStr">
        <is>
          <t>Includes shared hosting and database costs.</t>
        </is>
      </c>
    </row>
    <row r="19">
      <c r="A19" s="4" t="n"/>
      <c r="B19" s="4" t="n"/>
      <c r="C19" s="5" t="n"/>
      <c r="D19" s="4" t="n"/>
    </row>
    <row r="21" ht="38" customHeight="1">
      <c r="A21" s="14" t="inlineStr">
        <is>
          <t>Important note</t>
        </is>
      </c>
      <c r="B21" s="14" t="inlineStr">
        <is>
          <t>All workload, token, and savings figures are planning assumptions until measured. Verify current Groq and infrastructure pricing before relying on totals.</t>
        </is>
      </c>
      <c r="C21" s="14" t="n"/>
      <c r="D21" s="14" t="n"/>
    </row>
  </sheetData>
  <autoFilter ref="A4:D19"/>
  <mergeCells count="3">
    <mergeCell ref="A1:D1"/>
    <mergeCell ref="B21:D21"/>
    <mergeCell ref="A2:D2"/>
  </mergeCells>
  <pageMargins left="0.25" right="0.2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5" customWidth="1" min="3" max="3"/>
    <col width="75" customWidth="1" min="4" max="4"/>
  </cols>
  <sheetData>
    <row r="1" ht="28" customHeight="1">
      <c r="A1" s="1" t="inlineStr">
        <is>
          <t>AtliQ Contract IQ — Volume Sizing</t>
        </is>
      </c>
    </row>
    <row r="2" ht="34" customHeight="1">
      <c r="A2" s="2" t="inlineStr">
        <is>
          <t>Yellow cells are editable planning assumptions. Replace them with measured workload and prototype logs when available.</t>
        </is>
      </c>
    </row>
    <row r="3"/>
    <row r="4" ht="32" customHeight="1">
      <c r="A4" s="3" t="inlineStr">
        <is>
          <t>Measure</t>
        </is>
      </c>
      <c r="B4" s="3" t="inlineStr">
        <is>
          <t>Dataset / current evidence</t>
        </is>
      </c>
      <c r="C4" s="3" t="inlineStr">
        <is>
          <t>Base-case assumption</t>
        </is>
      </c>
      <c r="D4" s="3" t="inlineStr">
        <is>
          <t>How it is scaled / notes</t>
        </is>
      </c>
    </row>
    <row r="5">
      <c r="A5" s="4" t="inlineStr">
        <is>
          <t>Contract tracker rows</t>
        </is>
      </c>
      <c r="B5" s="4" t="inlineStr">
        <is>
          <t>48 rows supplied</t>
        </is>
      </c>
      <c r="C5" s="15" t="n">
        <v>48</v>
      </c>
      <c r="D5" s="4" t="inlineStr">
        <is>
          <t>Tracker rows are not necessarily unique, complete contracts; includes a duplicate Northwind SOW record.</t>
        </is>
      </c>
    </row>
    <row r="6">
      <c r="A6" s="6" t="inlineStr">
        <is>
          <t>Contracts reviewed per month</t>
        </is>
      </c>
      <c r="B6" s="6" t="inlineStr">
        <is>
          <t>Not established</t>
        </is>
      </c>
      <c r="C6" s="15" t="n">
        <v>50</v>
      </c>
      <c r="D6" s="6" t="inlineStr">
        <is>
          <t>Planning assumption only; replace with observed or expected monthly contract review volume.</t>
        </is>
      </c>
    </row>
    <row r="7">
      <c r="A7" s="4" t="inlineStr">
        <is>
          <t>Average pages per contract</t>
        </is>
      </c>
      <c r="B7" s="4" t="inlineStr">
        <is>
          <t>Not measured</t>
        </is>
      </c>
      <c r="C7" s="15" t="n">
        <v>20</v>
      </c>
      <c r="D7" s="4" t="inlineStr">
        <is>
          <t>Assumed average across MSAs, SOWs, NDAs, and contractor agreements.</t>
        </is>
      </c>
    </row>
    <row r="8">
      <c r="A8" s="6" t="inlineStr">
        <is>
          <t>Average words per page</t>
        </is>
      </c>
      <c r="B8" s="6" t="inlineStr">
        <is>
          <t>Not measured</t>
        </is>
      </c>
      <c r="C8" s="15" t="n">
        <v>500</v>
      </c>
      <c r="D8" s="6" t="inlineStr">
        <is>
          <t>Working assumption for text-heavy contracts.</t>
        </is>
      </c>
    </row>
    <row r="9">
      <c r="A9" s="4" t="inlineStr">
        <is>
          <t>Average words per contract</t>
        </is>
      </c>
      <c r="B9" s="4" t="inlineStr">
        <is>
          <t>Formula</t>
        </is>
      </c>
      <c r="C9" s="16">
        <f>C6*C7</f>
        <v/>
      </c>
      <c r="D9" s="4" t="inlineStr">
        <is>
          <t>Average pages × average words per page.</t>
        </is>
      </c>
    </row>
    <row r="10">
      <c r="A10" s="6" t="inlineStr">
        <is>
          <t>GPT-OSS tokens per word</t>
        </is>
      </c>
      <c r="B10" s="6" t="inlineStr">
        <is>
          <t>Sample assumption</t>
        </is>
      </c>
      <c r="C10" s="15" t="n">
        <v>1.3</v>
      </c>
      <c r="D10" s="6" t="inlineStr">
        <is>
          <t>Reuses the supplied sample's 1.3 tokens/word assumption; actual tokenization may vary.</t>
        </is>
      </c>
    </row>
    <row r="11">
      <c r="A11" s="4" t="inlineStr">
        <is>
          <t>Source tokens per contract</t>
        </is>
      </c>
      <c r="B11" s="4" t="inlineStr">
        <is>
          <t>Formula</t>
        </is>
      </c>
      <c r="C11" s="16">
        <f>C8*C9</f>
        <v/>
      </c>
      <c r="D11" s="4" t="inlineStr">
        <is>
          <t>Average words per contract × tokens per word.</t>
        </is>
      </c>
    </row>
    <row r="12">
      <c r="A12" s="6" t="inlineStr">
        <is>
          <t>Total pages per month</t>
        </is>
      </c>
      <c r="B12" s="6" t="inlineStr">
        <is>
          <t>Formula</t>
        </is>
      </c>
      <c r="C12" s="16">
        <f>C5*C6</f>
        <v/>
      </c>
      <c r="D12" s="6" t="inlineStr">
        <is>
          <t>Contracts reviewed × average pages.</t>
        </is>
      </c>
    </row>
    <row r="13">
      <c r="A13" s="4" t="inlineStr">
        <is>
          <t>Total source words per month</t>
        </is>
      </c>
      <c r="B13" s="4" t="inlineStr">
        <is>
          <t>Formula</t>
        </is>
      </c>
      <c r="C13" s="16">
        <f>C5*C8</f>
        <v/>
      </c>
      <c r="D13" s="4" t="inlineStr">
        <is>
          <t>Contracts reviewed × average words per contract.</t>
        </is>
      </c>
    </row>
    <row r="14">
      <c r="A14" s="6" t="inlineStr">
        <is>
          <t>Total source tokens per month</t>
        </is>
      </c>
      <c r="B14" s="6" t="inlineStr">
        <is>
          <t>Formula</t>
        </is>
      </c>
      <c r="C14" s="16">
        <f>C5*C10</f>
        <v/>
      </c>
      <c r="D14" s="6" t="inlineStr">
        <is>
          <t>Contracts reviewed × source tokens per contract.</t>
        </is>
      </c>
    </row>
    <row r="15">
      <c r="A15" s="4" t="inlineStr">
        <is>
          <t>Intake calls per contract</t>
        </is>
      </c>
      <c r="B15" s="4" t="inlineStr">
        <is>
          <t>Planning assumption</t>
        </is>
      </c>
      <c r="C15" s="15" t="n">
        <v>1</v>
      </c>
      <c r="D15" s="4" t="inlineStr">
        <is>
          <t>One intake / triage call per contract.</t>
        </is>
      </c>
    </row>
    <row r="16">
      <c r="A16" s="6" t="inlineStr">
        <is>
          <t>Extraction chunks per contract</t>
        </is>
      </c>
      <c r="B16" s="6" t="inlineStr">
        <is>
          <t>Planning assumption</t>
        </is>
      </c>
      <c r="C16" s="15" t="n">
        <v>10</v>
      </c>
      <c r="D16" s="6" t="inlineStr">
        <is>
          <t>Assumes each 20-page contract is processed in 10 chunks; validate against the implementation.</t>
        </is>
      </c>
    </row>
    <row r="17">
      <c r="A17" s="4" t="inlineStr">
        <is>
          <t>Precedent comparison calls per contract</t>
        </is>
      </c>
      <c r="B17" s="4" t="inlineStr">
        <is>
          <t>Planning assumption</t>
        </is>
      </c>
      <c r="C17" s="15" t="n">
        <v>1</v>
      </c>
      <c r="D17" s="4" t="inlineStr">
        <is>
          <t>One comparison pass over extracted clauses and relevant historical material.</t>
        </is>
      </c>
    </row>
    <row r="18">
      <c r="A18" s="6" t="inlineStr">
        <is>
          <t>Final report calls per contract</t>
        </is>
      </c>
      <c r="B18" s="6" t="inlineStr">
        <is>
          <t>Planning assumption</t>
        </is>
      </c>
      <c r="C18" s="15" t="n">
        <v>1</v>
      </c>
      <c r="D18" s="6" t="inlineStr">
        <is>
          <t>One final prioritized risk report per contract.</t>
        </is>
      </c>
    </row>
    <row r="19">
      <c r="A19" s="4" t="inlineStr">
        <is>
          <t>Total model calls per contract</t>
        </is>
      </c>
      <c r="B19" s="4" t="inlineStr">
        <is>
          <t>Formula</t>
        </is>
      </c>
      <c r="C19" s="16">
        <f>C15+C16+C17+C18</f>
        <v/>
      </c>
      <c r="D19" s="4" t="inlineStr">
        <is>
          <t>Sum of intake, extraction chunks, precedent comparison, and report calls.</t>
        </is>
      </c>
    </row>
    <row r="20">
      <c r="A20" s="6" t="inlineStr">
        <is>
          <t>Total intake calls per month</t>
        </is>
      </c>
      <c r="B20" s="6" t="inlineStr">
        <is>
          <t>Formula</t>
        </is>
      </c>
      <c r="C20" s="16">
        <f>C5*C15</f>
        <v/>
      </c>
      <c r="D20" s="6" t="inlineStr">
        <is>
          <t>Contracts × intake calls per contract.</t>
        </is>
      </c>
    </row>
    <row r="21">
      <c r="A21" s="4" t="inlineStr">
        <is>
          <t>Total extraction calls per month</t>
        </is>
      </c>
      <c r="B21" s="4" t="inlineStr">
        <is>
          <t>Formula</t>
        </is>
      </c>
      <c r="C21" s="16">
        <f>C5*C16</f>
        <v/>
      </c>
      <c r="D21" s="4" t="inlineStr">
        <is>
          <t>Contracts × extraction chunks per contract.</t>
        </is>
      </c>
    </row>
    <row r="22">
      <c r="A22" s="6" t="inlineStr">
        <is>
          <t>Total precedent calls per month</t>
        </is>
      </c>
      <c r="B22" s="6" t="inlineStr">
        <is>
          <t>Formula</t>
        </is>
      </c>
      <c r="C22" s="16">
        <f>C5*C17</f>
        <v/>
      </c>
      <c r="D22" s="6" t="inlineStr">
        <is>
          <t>Contracts × comparison calls per contract.</t>
        </is>
      </c>
    </row>
    <row r="23">
      <c r="A23" s="4" t="inlineStr">
        <is>
          <t>Total report calls per month</t>
        </is>
      </c>
      <c r="B23" s="4" t="inlineStr">
        <is>
          <t>Formula</t>
        </is>
      </c>
      <c r="C23" s="16">
        <f>C5*C18</f>
        <v/>
      </c>
      <c r="D23" s="4" t="inlineStr">
        <is>
          <t>Contracts × report calls per contract.</t>
        </is>
      </c>
    </row>
    <row r="24">
      <c r="A24" s="6" t="inlineStr">
        <is>
          <t>Total model calls per month</t>
        </is>
      </c>
      <c r="B24" s="6" t="inlineStr">
        <is>
          <t>Formula</t>
        </is>
      </c>
      <c r="C24" s="16">
        <f>SUM(C20:C23)</f>
        <v/>
      </c>
      <c r="D24" s="6" t="inlineStr">
        <is>
          <t>Total calls across the four workflow stages.</t>
        </is>
      </c>
    </row>
  </sheetData>
  <autoFilter ref="A4:D24"/>
  <mergeCells count="2">
    <mergeCell ref="A1:D1"/>
    <mergeCell ref="A2:D2"/>
  </mergeCells>
  <pageMargins left="0.25" right="0.2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19" customWidth="1" min="4" max="4"/>
    <col width="19" customWidth="1" min="5" max="5"/>
    <col width="15" customWidth="1" min="6" max="6"/>
    <col width="19" customWidth="1" min="7" max="7"/>
    <col width="19" customWidth="1" min="8" max="8"/>
    <col width="18" customWidth="1" min="9" max="9"/>
    <col width="19" customWidth="1" min="10" max="10"/>
    <col width="66" customWidth="1" min="11" max="11"/>
  </cols>
  <sheetData>
    <row r="1" ht="28" customHeight="1">
      <c r="A1" s="1" t="inlineStr">
        <is>
          <t>AtliQ Contract IQ — Groq Inference Cost</t>
        </is>
      </c>
    </row>
    <row r="2" ht="34" customHeight="1">
      <c r="A2" s="2" t="inlineStr">
        <is>
          <t>Rates are taken from the supplied sample's rate card and must be rechecked before use. Yellow cells are assumptions; model-token estimates are not measured.</t>
        </is>
      </c>
    </row>
    <row r="3"/>
    <row r="4" ht="32" customHeight="1">
      <c r="A4" s="3" t="inlineStr">
        <is>
          <t>Model / pricing item</t>
        </is>
      </c>
      <c r="B4" s="3" t="inlineStr">
        <is>
          <t>Input $ / 1M tokens</t>
        </is>
      </c>
      <c r="C4" s="3" t="inlineStr">
        <is>
          <t>Cached input $ / 1M</t>
        </is>
      </c>
      <c r="D4" s="3" t="inlineStr">
        <is>
          <t>Output $ / 1M tokens</t>
        </is>
      </c>
      <c r="E4" s="3" t="inlineStr">
        <is>
          <t>Notes</t>
        </is>
      </c>
    </row>
    <row r="5">
      <c r="A5" s="4" t="inlineStr">
        <is>
          <t>openai/gpt-oss-20b</t>
        </is>
      </c>
      <c r="B5" s="17" t="n">
        <v>0.075</v>
      </c>
      <c r="C5" s="17" t="n">
        <v>0.0375</v>
      </c>
      <c r="D5" s="17" t="n">
        <v>0.3</v>
      </c>
      <c r="E5" s="4" t="inlineStr">
        <is>
          <t>Sample rate card; confirm current Groq pricing.</t>
        </is>
      </c>
    </row>
    <row r="6">
      <c r="A6" s="6" t="inlineStr">
        <is>
          <t>openai/gpt-oss-120b</t>
        </is>
      </c>
      <c r="B6" s="18" t="n">
        <v>0.15</v>
      </c>
      <c r="C6" s="18" t="n">
        <v>0.075</v>
      </c>
      <c r="D6" s="18" t="n">
        <v>0.6</v>
      </c>
      <c r="E6" s="6" t="inlineStr">
        <is>
          <t>Sample rate card; confirm current Groq pricing.</t>
        </is>
      </c>
    </row>
    <row r="7"/>
    <row r="8"/>
    <row r="9" ht="32" customHeight="1">
      <c r="A9" s="3" t="inlineStr">
        <is>
          <t>Task</t>
        </is>
      </c>
      <c r="B9" s="3" t="inlineStr">
        <is>
          <t>Model</t>
        </is>
      </c>
      <c r="C9" s="3" t="inlineStr">
        <is>
          <t>Calls / month</t>
        </is>
      </c>
      <c r="D9" s="3" t="inlineStr">
        <is>
          <t>Input tokens / call</t>
        </is>
      </c>
      <c r="E9" s="3" t="inlineStr">
        <is>
          <t>Cacheable prefix tokens</t>
        </is>
      </c>
      <c r="F9" s="3" t="inlineStr">
        <is>
          <t>Cache-hit rate</t>
        </is>
      </c>
      <c r="G9" s="3" t="inlineStr">
        <is>
          <t>Visible output tokens</t>
        </is>
      </c>
      <c r="H9" s="3" t="inlineStr">
        <is>
          <t>Reasoning allowance tokens</t>
        </is>
      </c>
      <c r="I9" s="3" t="inlineStr">
        <is>
          <t>Cost / call</t>
        </is>
      </c>
      <c r="J9" s="3" t="inlineStr">
        <is>
          <t>Cost / month</t>
        </is>
      </c>
      <c r="K9" s="3" t="inlineStr">
        <is>
          <t>Notes</t>
        </is>
      </c>
    </row>
    <row r="10">
      <c r="A10" s="6" t="inlineStr">
        <is>
          <t>F1 Contract intake and triage</t>
        </is>
      </c>
      <c r="B10" s="6" t="inlineStr">
        <is>
          <t>20B</t>
        </is>
      </c>
      <c r="C10" s="6">
        <f>'Volume Sizing'!C20</f>
        <v/>
      </c>
      <c r="D10" s="15" t="n">
        <v>15000</v>
      </c>
      <c r="E10" s="15" t="n">
        <v>3000</v>
      </c>
      <c r="F10" s="15" t="n">
        <v>0.5</v>
      </c>
      <c r="G10" s="15" t="n">
        <v>400</v>
      </c>
      <c r="H10" s="15" t="n">
        <v>300</v>
      </c>
      <c r="I10" s="19">
        <f>(((E10*F10)*INDEX($C$5:$C$6,IF(B10="20B",5,6))+(D10-E10*F10)*INDEX($B$5:$B$6,IF(B10="20B",5,6)))/1000000)+((G10+H10)*INDEX($D$5:$D$6,IF(B10="20B",5,6))/1000000)</f>
        <v/>
      </c>
      <c r="J10" s="20">
        <f>C10*I10</f>
        <v/>
      </c>
      <c r="K10" s="6" t="inlineStr">
        <is>
          <t>One intake call per contract; assumed token counts.</t>
        </is>
      </c>
    </row>
    <row r="11">
      <c r="A11" s="4" t="inlineStr">
        <is>
          <t>F2 Clause extraction</t>
        </is>
      </c>
      <c r="B11" s="4" t="inlineStr">
        <is>
          <t>120B</t>
        </is>
      </c>
      <c r="C11" s="4">
        <f>'Volume Sizing'!C21</f>
        <v/>
      </c>
      <c r="D11" s="15" t="n">
        <v>3500</v>
      </c>
      <c r="E11" s="15" t="n">
        <v>1000</v>
      </c>
      <c r="F11" s="15" t="n">
        <v>0.5</v>
      </c>
      <c r="G11" s="15" t="n">
        <v>700</v>
      </c>
      <c r="H11" s="15" t="n">
        <v>500</v>
      </c>
      <c r="I11" s="21">
        <f>(((E11*F11)*INDEX($C$5:$C$6,IF(B11="20B",5,6))+(D11-E11*F11)*INDEX($B$5:$B$6,IF(B11="20B",5,6)))/1000000)+((G11+H11)*INDEX($D$5:$D$6,IF(B11="20B",5,6))/1000000)</f>
        <v/>
      </c>
      <c r="J11" s="22">
        <f>C11*I11</f>
        <v/>
      </c>
      <c r="K11" s="4" t="inlineStr">
        <is>
          <t>10 extraction chunks per contract; includes chunk text and prompt.</t>
        </is>
      </c>
    </row>
    <row r="12">
      <c r="A12" s="6" t="inlineStr">
        <is>
          <t>F3 Checklist and precedent comparison</t>
        </is>
      </c>
      <c r="B12" s="6" t="inlineStr">
        <is>
          <t>120B</t>
        </is>
      </c>
      <c r="C12" s="6">
        <f>'Volume Sizing'!C22</f>
        <v/>
      </c>
      <c r="D12" s="15" t="n">
        <v>8000</v>
      </c>
      <c r="E12" s="15" t="n">
        <v>2500</v>
      </c>
      <c r="F12" s="15" t="n">
        <v>0.5</v>
      </c>
      <c r="G12" s="15" t="n">
        <v>1200</v>
      </c>
      <c r="H12" s="15" t="n">
        <v>800</v>
      </c>
      <c r="I12" s="19">
        <f>(((E12*F12)*INDEX($C$5:$C$6,IF(B12="20B",5,6))+(D12-E12*F12)*INDEX($B$5:$B$6,IF(B12="20B",5,6)))/1000000)+((G12+H12)*INDEX($D$5:$D$6,IF(B12="20B",5,6))/1000000)</f>
        <v/>
      </c>
      <c r="J12" s="20">
        <f>C12*I12</f>
        <v/>
      </c>
      <c r="K12" s="6" t="inlineStr">
        <is>
          <t>Assumes relevant precedent snippets are supplied in context.</t>
        </is>
      </c>
    </row>
    <row r="13">
      <c r="A13" s="4" t="inlineStr">
        <is>
          <t>F4 Prioritized risk report</t>
        </is>
      </c>
      <c r="B13" s="4" t="inlineStr">
        <is>
          <t>120B</t>
        </is>
      </c>
      <c r="C13" s="4">
        <f>'Volume Sizing'!C23</f>
        <v/>
      </c>
      <c r="D13" s="15" t="n">
        <v>3000</v>
      </c>
      <c r="E13" s="15" t="n">
        <v>1500</v>
      </c>
      <c r="F13" s="15" t="n">
        <v>0.5</v>
      </c>
      <c r="G13" s="15" t="n">
        <v>1200</v>
      </c>
      <c r="H13" s="15" t="n">
        <v>500</v>
      </c>
      <c r="I13" s="21">
        <f>(((E13*F13)*INDEX($C$5:$C$6,IF(B13="20B",5,6))+(D13-E13*F13)*INDEX($B$5:$B$6,IF(B13="20B",5,6)))/1000000)+((G13+H13)*INDEX($D$5:$D$6,IF(B13="20B",5,6))/1000000)</f>
        <v/>
      </c>
      <c r="J13" s="22">
        <f>C13*I13</f>
        <v/>
      </c>
      <c r="K13" s="4" t="inlineStr">
        <is>
          <t>Outputs evidence-linked findings and next actions for human review.</t>
        </is>
      </c>
    </row>
    <row r="14"/>
    <row r="15">
      <c r="A15" s="23" t="inlineStr">
        <is>
          <t>Inference subtotal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5">
        <f>SUM(J10:J13)</f>
        <v/>
      </c>
      <c r="K15" s="24" t="n"/>
    </row>
    <row r="16">
      <c r="A16" s="26" t="inlineStr">
        <is>
          <t>Retry/evaluation buffer</t>
        </is>
      </c>
      <c r="B16" s="6" t="n"/>
      <c r="C16" s="27" t="n">
        <v>0.25</v>
      </c>
      <c r="D16" s="6" t="n"/>
      <c r="E16" s="6" t="n"/>
      <c r="F16" s="6" t="n"/>
      <c r="G16" s="6" t="n"/>
      <c r="H16" s="6" t="n"/>
      <c r="I16" s="6" t="n"/>
      <c r="J16" s="28">
        <f>J15*C16</f>
        <v/>
      </c>
      <c r="K16" s="6" t="n"/>
    </row>
    <row r="17">
      <c r="A17" s="9" t="inlineStr">
        <is>
          <t>Estimated AI total / month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29">
        <f>J15+J16</f>
        <v/>
      </c>
      <c r="K17" s="16" t="n"/>
    </row>
    <row r="18">
      <c r="A18" s="26" t="inlineStr">
        <is>
          <t>Estimated AI cost / contract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28">
        <f>J17/'Volume Sizing'!C5</f>
        <v/>
      </c>
      <c r="K18" s="6" t="n"/>
    </row>
    <row r="19"/>
    <row r="20"/>
    <row r="21" ht="35" customHeight="1">
      <c r="A21" s="30" t="inlineStr">
        <is>
          <t>Formula note: cost/call = standard input + estimated cached input discount + (visible output + reasoning allowance) at the selected model's output rate. Cache assumptions must be replaced with measured cache behavior.</t>
        </is>
      </c>
    </row>
  </sheetData>
  <mergeCells count="3">
    <mergeCell ref="A2:K2"/>
    <mergeCell ref="A1:K1"/>
    <mergeCell ref="A21:K21"/>
  </mergeCells>
  <pageMargins left="0.25" right="0.2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65" customWidth="1" min="4" max="4"/>
  </cols>
  <sheetData>
    <row r="1" ht="28" customHeight="1">
      <c r="A1" s="1" t="inlineStr">
        <is>
          <t>AtliQ Contract IQ — Infrastructure Estimate</t>
        </is>
      </c>
    </row>
    <row r="2" ht="34" customHeight="1">
      <c r="A2" s="2" t="inlineStr">
        <is>
          <t>Planning estimates only. Verify current provider plans, data handling, and retention/security requirements before processing confidential contracts.</t>
        </is>
      </c>
    </row>
    <row r="3"/>
    <row r="4" ht="32" customHeight="1">
      <c r="A4" s="3" t="inlineStr">
        <is>
          <t>Component</t>
        </is>
      </c>
      <c r="B4" s="3" t="inlineStr">
        <is>
          <t>Assumption / service</t>
        </is>
      </c>
      <c r="C4" s="3" t="inlineStr">
        <is>
          <t>Monthly estimate</t>
        </is>
      </c>
      <c r="D4" s="3" t="inlineStr">
        <is>
          <t>Notes / validation</t>
        </is>
      </c>
    </row>
    <row r="5">
      <c r="A5" s="4" t="inlineStr">
        <is>
          <t>Application hosting</t>
        </is>
      </c>
      <c r="B5" s="4" t="inlineStr">
        <is>
          <t>Vercel Pro</t>
        </is>
      </c>
      <c r="C5" s="8" t="n">
        <v>20</v>
      </c>
      <c r="D5" s="4" t="inlineStr">
        <is>
          <t>Budget placeholder; verify current plan and deployment needs.</t>
        </is>
      </c>
    </row>
    <row r="6">
      <c r="A6" s="6" t="inlineStr">
        <is>
          <t>Database and audit records</t>
        </is>
      </c>
      <c r="B6" s="6" t="inlineStr">
        <is>
          <t>Supabase Pro</t>
        </is>
      </c>
      <c r="C6" s="8" t="n">
        <v>25</v>
      </c>
      <c r="D6" s="6" t="inlineStr">
        <is>
          <t>Budget placeholder; verify current price, storage, backups, and retention.</t>
        </is>
      </c>
    </row>
    <row r="7">
      <c r="A7" s="4" t="inlineStr">
        <is>
          <t>Document storage</t>
        </is>
      </c>
      <c r="B7" s="4" t="inlineStr">
        <is>
          <t>Included / low initial volume</t>
        </is>
      </c>
      <c r="C7" s="8" t="n">
        <v>0</v>
      </c>
      <c r="D7" s="4" t="inlineStr">
        <is>
          <t>Confirm whether the selected plan covers original files and derived artifacts.</t>
        </is>
      </c>
    </row>
    <row r="8">
      <c r="A8" s="6" t="inlineStr">
        <is>
          <t>OCR</t>
        </is>
      </c>
      <c r="B8" s="6" t="inlineStr">
        <is>
          <t>Out of MVP scope</t>
        </is>
      </c>
      <c r="C8" s="8" t="n">
        <v>0</v>
      </c>
      <c r="D8" s="6" t="inlineStr">
        <is>
          <t>Add a separate estimate if scanned PDFs are included.</t>
        </is>
      </c>
    </row>
    <row r="9">
      <c r="A9" s="4" t="inlineStr">
        <is>
          <t>Monitoring / error tracking</t>
        </is>
      </c>
      <c r="B9" s="4" t="inlineStr">
        <is>
          <t>Free tier initially</t>
        </is>
      </c>
      <c r="C9" s="8" t="n">
        <v>0</v>
      </c>
      <c r="D9" s="4" t="inlineStr">
        <is>
          <t>Reassess before production rollout.</t>
        </is>
      </c>
    </row>
    <row r="10">
      <c r="A10" s="6" t="inlineStr">
        <is>
          <t>Embeddings / vector store</t>
        </is>
      </c>
      <c r="B10" s="6" t="inlineStr">
        <is>
          <t>Not used in base case</t>
        </is>
      </c>
      <c r="C10" s="8" t="n">
        <v>0</v>
      </c>
      <c r="D10" s="6" t="inlineStr">
        <is>
          <t>Optional; estimate if semantic retrieval is implemented.</t>
        </is>
      </c>
    </row>
    <row r="11"/>
    <row r="12">
      <c r="A12" s="31" t="inlineStr">
        <is>
          <t>Estimated infrastructure total</t>
        </is>
      </c>
      <c r="B12" s="32" t="n"/>
      <c r="C12" s="33">
        <f>SUM(C5:C10)</f>
        <v/>
      </c>
      <c r="D12" s="32" t="n"/>
    </row>
  </sheetData>
  <mergeCells count="2">
    <mergeCell ref="A1:D1"/>
    <mergeCell ref="A2:D2"/>
  </mergeCells>
  <pageMargins left="0.25" right="0.2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22" customWidth="1" min="3" max="3"/>
    <col width="65" customWidth="1" min="4" max="4"/>
  </cols>
  <sheetData>
    <row r="1" ht="28" customHeight="1">
      <c r="A1" s="1" t="inlineStr">
        <is>
          <t>AtliQ Contract IQ — Embeddings Decision</t>
        </is>
      </c>
    </row>
    <row r="2" ht="34" customHeight="1">
      <c r="A2" s="2" t="inlineStr">
        <is>
          <t>Embeddings are optional; do not charge for them unless the prototype actually uses semantic retrieval.</t>
        </is>
      </c>
    </row>
    <row r="3"/>
    <row r="4" ht="32" customHeight="1">
      <c r="A4" s="3" t="inlineStr">
        <is>
          <t>Item</t>
        </is>
      </c>
      <c r="B4" s="3" t="inlineStr">
        <is>
          <t>Base-case decision</t>
        </is>
      </c>
      <c r="C4" s="3" t="inlineStr">
        <is>
          <t>Estimate</t>
        </is>
      </c>
      <c r="D4" s="3" t="inlineStr">
        <is>
          <t>Notes</t>
        </is>
      </c>
    </row>
    <row r="5">
      <c r="A5" s="4" t="inlineStr">
        <is>
          <t>Semantic retrieval</t>
        </is>
      </c>
      <c r="B5" s="4" t="inlineStr">
        <is>
          <t>Deferred / not used</t>
        </is>
      </c>
      <c r="C5" s="4" t="inlineStr">
        <is>
          <t>$0.00</t>
        </is>
      </c>
      <c r="D5" s="4" t="inlineStr">
        <is>
          <t>Use deterministic filtering and keyword search over curated historical agreements and negotiation notes for MVP.</t>
        </is>
      </c>
    </row>
    <row r="6">
      <c r="A6" s="6" t="inlineStr">
        <is>
          <t>When to add</t>
        </is>
      </c>
      <c r="B6" s="6" t="inlineStr">
        <is>
          <t>If keyword retrieval misses relevant precedents</t>
        </is>
      </c>
      <c r="C6" s="6" t="inlineStr">
        <is>
          <t>TBD</t>
        </is>
      </c>
      <c r="D6" s="6" t="inlineStr">
        <is>
          <t>Evaluate retrieval quality using labelled precedent queries.</t>
        </is>
      </c>
    </row>
    <row r="7">
      <c r="A7" s="4" t="inlineStr">
        <is>
          <t>Cost drivers</t>
        </is>
      </c>
      <c r="B7" s="4" t="inlineStr">
        <is>
          <t>Embedding input tokens; indexing refresh; vector storage; retrieval service</t>
        </is>
      </c>
      <c r="C7" s="4" t="inlineStr">
        <is>
          <t>TBD</t>
        </is>
      </c>
      <c r="D7" s="4" t="inlineStr">
        <is>
          <t>Measure corpus size, re-indexing frequency, and monthly queries before pricing.</t>
        </is>
      </c>
    </row>
    <row r="8">
      <c r="A8" s="6" t="inlineStr">
        <is>
          <t>Safety requirement</t>
        </is>
      </c>
      <c r="B8" s="6" t="inlineStr">
        <is>
          <t>Human verification of retrieved precedent</t>
        </is>
      </c>
      <c r="C8" s="6" t="inlineStr">
        <is>
          <t>Required</t>
        </is>
      </c>
      <c r="D8" s="6" t="inlineStr">
        <is>
          <t>Historical notes can be incomplete or exceptions; do not treat as authoritative policy without validation.</t>
        </is>
      </c>
    </row>
  </sheetData>
  <mergeCells count="2">
    <mergeCell ref="A1:D1"/>
    <mergeCell ref="A2:D2"/>
  </mergeCells>
  <pageMargins left="0.25" right="0.2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70" customWidth="1" min="4" max="4"/>
  </cols>
  <sheetData>
    <row r="1" ht="28" customHeight="1">
      <c r="A1" s="1" t="inlineStr">
        <is>
          <t>AtliQ Contract IQ — Cost Savings Model</t>
        </is>
      </c>
    </row>
    <row r="2" ht="34" customHeight="1">
      <c r="A2" s="2" t="inlineStr">
        <is>
          <t>Editable assumptions. Include human verification time in AI-assisted review time; savings are potential capacity value, not guaranteed cash savings.</t>
        </is>
      </c>
    </row>
    <row r="3"/>
    <row r="4" ht="32" customHeight="1">
      <c r="A4" s="3" t="inlineStr">
        <is>
          <t>Measure</t>
        </is>
      </c>
      <c r="B4" s="3" t="inlineStr">
        <is>
          <t>Value</t>
        </is>
      </c>
      <c r="C4" s="3" t="inlineStr">
        <is>
          <t>Unit / formula</t>
        </is>
      </c>
      <c r="D4" s="3" t="inlineStr">
        <is>
          <t>Notes</t>
        </is>
      </c>
    </row>
    <row r="5">
      <c r="A5" s="4" t="inlineStr">
        <is>
          <t>Contracts reviewed per month</t>
        </is>
      </c>
      <c r="B5" s="34">
        <f>'Volume Sizing'!C5</f>
        <v/>
      </c>
      <c r="C5" s="4" t="inlineStr">
        <is>
          <t>contracts</t>
        </is>
      </c>
      <c r="D5" s="4" t="inlineStr">
        <is>
          <t>Linked to volume sizing.</t>
        </is>
      </c>
    </row>
    <row r="6">
      <c r="A6" s="6" t="inlineStr">
        <is>
          <t>Manual review time per contract</t>
        </is>
      </c>
      <c r="B6" s="15" t="n">
        <v>120</v>
      </c>
      <c r="C6" s="6" t="inlineStr">
        <is>
          <t>minutes</t>
        </is>
      </c>
      <c r="D6" s="6" t="inlineStr">
        <is>
          <t>Illustrative assumption; replace with measured baseline.</t>
        </is>
      </c>
    </row>
    <row r="7">
      <c r="A7" s="4" t="inlineStr">
        <is>
          <t>AI-assisted review time per contract</t>
        </is>
      </c>
      <c r="B7" s="15" t="n">
        <v>75</v>
      </c>
      <c r="C7" s="4" t="inlineStr">
        <is>
          <t>minutes</t>
        </is>
      </c>
      <c r="D7" s="4" t="inlineStr">
        <is>
          <t>Illustrative assumption including human verification.</t>
        </is>
      </c>
    </row>
    <row r="8">
      <c r="A8" s="6" t="inlineStr">
        <is>
          <t>Reviewer hourly cost</t>
        </is>
      </c>
      <c r="B8" s="8" t="n">
        <v>50</v>
      </c>
      <c r="C8" s="6" t="inlineStr">
        <is>
          <t>USD/hour</t>
        </is>
      </c>
      <c r="D8" s="6" t="inlineStr">
        <is>
          <t>Illustrative assumption; replace with AtliQ's fully loaded rate.</t>
        </is>
      </c>
    </row>
    <row r="9">
      <c r="A9" s="4" t="inlineStr">
        <is>
          <t>Hours saved per month</t>
        </is>
      </c>
      <c r="B9" s="4">
        <f>B5*(B6-B7)/60</f>
        <v/>
      </c>
      <c r="C9" s="4" t="inlineStr">
        <is>
          <t>hours</t>
        </is>
      </c>
      <c r="D9" s="4" t="inlineStr">
        <is>
          <t>Contracts × (manual minutes − AI-assisted minutes) ÷ 60.</t>
        </is>
      </c>
    </row>
    <row r="10">
      <c r="A10" s="6" t="inlineStr">
        <is>
          <t>Potential value of time saved</t>
        </is>
      </c>
      <c r="B10" s="7">
        <f>B9*B8</f>
        <v/>
      </c>
      <c r="C10" s="6" t="inlineStr">
        <is>
          <t>USD/month</t>
        </is>
      </c>
      <c r="D10" s="6" t="inlineStr">
        <is>
          <t>Capacity value; not necessarily cash savings.</t>
        </is>
      </c>
    </row>
    <row r="11">
      <c r="A11" s="4" t="inlineStr">
        <is>
          <t>Estimated monthly operating cost</t>
        </is>
      </c>
      <c r="B11" s="5">
        <f>Summary!C15</f>
        <v/>
      </c>
      <c r="C11" s="4" t="inlineStr">
        <is>
          <t>USD/month</t>
        </is>
      </c>
      <c r="D11" s="4" t="inlineStr">
        <is>
          <t>Linked to Summary.</t>
        </is>
      </c>
    </row>
    <row r="12">
      <c r="A12" s="6" t="inlineStr">
        <is>
          <t>Estimated net monthly benefit</t>
        </is>
      </c>
      <c r="B12" s="7">
        <f>B10-B11</f>
        <v/>
      </c>
      <c r="C12" s="6" t="inlineStr">
        <is>
          <t>USD/month</t>
        </is>
      </c>
      <c r="D12" s="6" t="inlineStr">
        <is>
          <t>Potential value minus operating cost; sensitive to time-saving assumptions.</t>
        </is>
      </c>
    </row>
  </sheetData>
  <mergeCells count="2">
    <mergeCell ref="A1:D1"/>
    <mergeCell ref="A2:D2"/>
  </mergeCells>
  <pageMargins left="0.25" right="0.2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2" customWidth="1" min="3" max="3"/>
  </cols>
  <sheetData>
    <row r="1" ht="28" customHeight="1">
      <c r="A1" s="1" t="inlineStr">
        <is>
          <t>AtliQ Contract IQ — Sources &amp; Assumptions</t>
        </is>
      </c>
    </row>
    <row r="2" ht="34" customHeight="1">
      <c r="A2" s="2" t="inlineStr">
        <is>
          <t>Separate project facts from planning assumptions and measured prototype values. Verify external prices and security terms before launch.</t>
        </is>
      </c>
    </row>
    <row r="3"/>
    <row r="4" ht="32" customHeight="1">
      <c r="A4" s="3" t="inlineStr">
        <is>
          <t>Type</t>
        </is>
      </c>
      <c r="B4" s="3" t="inlineStr">
        <is>
          <t>Source / assumption</t>
        </is>
      </c>
      <c r="C4" s="3" t="inlineStr">
        <is>
          <t>Treatment / next action</t>
        </is>
      </c>
    </row>
    <row r="5">
      <c r="A5" s="4" t="inlineStr">
        <is>
          <t>Project fact</t>
        </is>
      </c>
      <c r="B5" s="4" t="inlineStr">
        <is>
          <t>Supplied contract tracker: 48 rows</t>
        </is>
      </c>
      <c r="C5" s="4" t="inlineStr">
        <is>
          <t>Does not establish 48 unique or complete contracts; includes duplicate/missing metadata.</t>
        </is>
      </c>
    </row>
    <row r="6">
      <c r="A6" s="6" t="inlineStr">
        <is>
          <t>Project fact</t>
        </is>
      </c>
      <c r="B6" s="6" t="inlineStr">
        <is>
          <t>AtliQ entities and contract checklist</t>
        </is>
      </c>
      <c r="C6" s="6" t="inlineStr">
        <is>
          <t>Use entity rules and checklist as supplied; confirm exceptions with authorized reviewer.</t>
        </is>
      </c>
    </row>
    <row r="7">
      <c r="A7" s="4" t="inlineStr">
        <is>
          <t>Project fact</t>
        </is>
      </c>
      <c r="B7" s="4" t="inlineStr">
        <is>
          <t>Historical negotiation notes</t>
        </is>
      </c>
      <c r="C7" s="4" t="inlineStr">
        <is>
          <t>Some notes are reconstructed or incomplete; label as precedent, exception, rejected position, or unverified.</t>
        </is>
      </c>
    </row>
    <row r="8">
      <c r="A8" s="6" t="inlineStr">
        <is>
          <t>Planning assumption</t>
        </is>
      </c>
      <c r="B8" s="6" t="inlineStr">
        <is>
          <t>50 contracts/month; 20 pages/contract; 500 words/page</t>
        </is>
      </c>
      <c r="C8" s="6" t="inlineStr">
        <is>
          <t>Replace with measured expected volume and representative contract lengths.</t>
        </is>
      </c>
    </row>
    <row r="9">
      <c r="A9" s="4" t="inlineStr">
        <is>
          <t>Planning assumption</t>
        </is>
      </c>
      <c r="B9" s="4" t="inlineStr">
        <is>
          <t>1.30 GPT-OSS tokens per English word</t>
        </is>
      </c>
      <c r="C9" s="4" t="inlineStr">
        <is>
          <t>Approximation; measure token counts in prototype logs.</t>
        </is>
      </c>
    </row>
    <row r="10">
      <c r="A10" s="6" t="inlineStr">
        <is>
          <t>Planning assumption</t>
        </is>
      </c>
      <c r="B10" s="6" t="inlineStr">
        <is>
          <t>10 extraction chunks per contract</t>
        </is>
      </c>
      <c r="C10" s="6" t="inlineStr">
        <is>
          <t>Validate chunk size, overlap, prompt overhead, and model limits.</t>
        </is>
      </c>
    </row>
    <row r="11">
      <c r="A11" s="4" t="inlineStr">
        <is>
          <t>Pricing assumption</t>
        </is>
      </c>
      <c r="B11" s="4" t="inlineStr">
        <is>
          <t>Groq model prices copied from supplied sample</t>
        </is>
      </c>
      <c r="C11" s="4" t="inlineStr">
        <is>
          <t>Recheck current official Groq pricing and cache behavior before final submission.</t>
        </is>
      </c>
    </row>
    <row r="12">
      <c r="A12" s="6" t="inlineStr">
        <is>
          <t>Infrastructure assumption</t>
        </is>
      </c>
      <c r="B12" s="6" t="inlineStr">
        <is>
          <t>Vercel Pro $20/month; Supabase Pro $25/month</t>
        </is>
      </c>
      <c r="C12" s="6" t="inlineStr">
        <is>
          <t>Budget placeholders; verify current pricing, storage, retention, and required features.</t>
        </is>
      </c>
    </row>
    <row r="13">
      <c r="A13" s="4" t="inlineStr">
        <is>
          <t>Excluded</t>
        </is>
      </c>
      <c r="B13" s="4" t="inlineStr">
        <is>
          <t>OCR, legal research database, engineering labour, taxes, enterprise integrations</t>
        </is>
      </c>
      <c r="C13" s="4" t="inlineStr">
        <is>
          <t>Add if these become part of MVP or production scope.</t>
        </is>
      </c>
    </row>
    <row r="14">
      <c r="A14" s="6" t="inlineStr">
        <is>
          <t>Security gate</t>
        </is>
      </c>
      <c r="B14" s="6" t="inlineStr">
        <is>
          <t>Provider retention, data residency, approved services, access control</t>
        </is>
      </c>
      <c r="C14" s="6" t="inlineStr">
        <is>
          <t>Confirm before processing confidential real contracts; low inference cost does not establish compliance.</t>
        </is>
      </c>
    </row>
    <row r="15">
      <c r="A15" s="4" t="inlineStr">
        <is>
          <t>Measured values</t>
        </is>
      </c>
      <c r="B15" s="4" t="inlineStr">
        <is>
          <t>No prototype usage logs entered yet</t>
        </is>
      </c>
      <c r="C15" s="4" t="inlineStr">
        <is>
          <t>Replace assumptions with actual token usage, call counts, retries, and costs after running tests.</t>
        </is>
      </c>
    </row>
  </sheetData>
  <mergeCells count="2">
    <mergeCell ref="A1:C1"/>
    <mergeCell ref="A2:C2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2026-10-14T20:56:17Z</dcterms:created>
  <dcterms:modified xmlns:dcterms="http://purl.org/dc/terms/" xmlns:xsi="http://www.w3.org/2001/XMLSchema-instance" xsi:type="dcterms:W3CDTF">2026-10-14T20:56:17Z</dcterms:modified>
</cp:coreProperties>
</file>